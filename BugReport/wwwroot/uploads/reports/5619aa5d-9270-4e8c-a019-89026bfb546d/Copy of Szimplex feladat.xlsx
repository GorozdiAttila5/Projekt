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brigi/Desktop/"/>
    </mc:Choice>
  </mc:AlternateContent>
  <xr:revisionPtr revIDLastSave="0" documentId="13_ncr:1_{6C62F8E2-C94B-6B45-ADC0-753977C36002}" xr6:coauthVersionLast="47" xr6:coauthVersionMax="47" xr10:uidLastSave="{00000000-0000-0000-0000-000000000000}"/>
  <bookViews>
    <workbookView xWindow="0" yWindow="880" windowWidth="26640" windowHeight="20220" xr2:uid="{00000000-000D-0000-FFFF-FFFF00000000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21" i="1"/>
  <c r="H14" i="1"/>
  <c r="H21" i="1" s="1"/>
  <c r="G14" i="1"/>
  <c r="G21" i="1" s="1"/>
  <c r="F14" i="1"/>
  <c r="F21" i="1" s="1"/>
  <c r="D14" i="1"/>
  <c r="C21" i="1" s="1"/>
  <c r="C14" i="1"/>
  <c r="B14" i="1"/>
  <c r="B21" i="1" s="1"/>
  <c r="I13" i="1"/>
  <c r="K13" i="1" s="1"/>
  <c r="H13" i="1"/>
  <c r="H20" i="1" s="1"/>
  <c r="G13" i="1"/>
  <c r="G20" i="1" s="1"/>
  <c r="F13" i="1"/>
  <c r="F20" i="1" s="1"/>
  <c r="I12" i="1"/>
  <c r="K12" i="1" s="1"/>
  <c r="I11" i="1"/>
  <c r="K11" i="1" s="1"/>
  <c r="D13" i="1"/>
  <c r="D20" i="1" s="1"/>
  <c r="C13" i="1"/>
  <c r="C20" i="1" s="1"/>
  <c r="B13" i="1"/>
  <c r="B20" i="1" s="1"/>
  <c r="H11" i="1"/>
  <c r="H18" i="1" s="1"/>
  <c r="G11" i="1"/>
  <c r="G18" i="1" s="1"/>
  <c r="F11" i="1"/>
  <c r="F18" i="1" s="1"/>
  <c r="D11" i="1"/>
  <c r="E18" i="1" s="1"/>
  <c r="C11" i="1"/>
  <c r="C18" i="1" s="1"/>
  <c r="B11" i="1"/>
  <c r="B18" i="1" s="1"/>
  <c r="C25" i="1" s="1"/>
  <c r="H12" i="1"/>
  <c r="H19" i="1" s="1"/>
  <c r="H26" i="1" s="1"/>
  <c r="G12" i="1"/>
  <c r="G19" i="1" s="1"/>
  <c r="G26" i="1" s="1"/>
  <c r="F12" i="1"/>
  <c r="F19" i="1" s="1"/>
  <c r="E12" i="1"/>
  <c r="E19" i="1" s="1"/>
  <c r="D12" i="1"/>
  <c r="C19" i="1" s="1"/>
  <c r="C12" i="1"/>
  <c r="B12" i="1"/>
  <c r="B19" i="1" s="1"/>
  <c r="L5" i="1"/>
  <c r="L6" i="1"/>
  <c r="L4" i="1"/>
  <c r="C27" i="1" l="1"/>
  <c r="C28" i="1"/>
  <c r="G28" i="1"/>
  <c r="E25" i="1"/>
  <c r="G25" i="1"/>
  <c r="H28" i="1"/>
  <c r="C26" i="1"/>
  <c r="E26" i="1"/>
  <c r="G27" i="1"/>
  <c r="H25" i="1"/>
  <c r="H27" i="1"/>
  <c r="I18" i="1"/>
  <c r="I20" i="1"/>
  <c r="I19" i="1"/>
  <c r="E20" i="1"/>
  <c r="E27" i="1" s="1"/>
  <c r="E21" i="1"/>
  <c r="I26" i="1" l="1"/>
  <c r="K19" i="1"/>
  <c r="I27" i="1"/>
  <c r="K20" i="1"/>
  <c r="I25" i="1"/>
  <c r="I28" i="1"/>
  <c r="K18" i="1"/>
</calcChain>
</file>

<file path=xl/sharedStrings.xml><?xml version="1.0" encoding="utf-8"?>
<sst xmlns="http://schemas.openxmlformats.org/spreadsheetml/2006/main" count="50" uniqueCount="14">
  <si>
    <t>x1</t>
  </si>
  <si>
    <t>x2</t>
  </si>
  <si>
    <t>x3</t>
  </si>
  <si>
    <t>x4</t>
  </si>
  <si>
    <t>y1</t>
  </si>
  <si>
    <t>y2</t>
  </si>
  <si>
    <t>y3</t>
  </si>
  <si>
    <t>b</t>
  </si>
  <si>
    <t>Első feladat!</t>
  </si>
  <si>
    <t>X1 = 6.36</t>
  </si>
  <si>
    <t>X2 = 0</t>
  </si>
  <si>
    <t>X3 = 0.45</t>
  </si>
  <si>
    <t>X4 = 0</t>
  </si>
  <si>
    <t>https://www.youtube.com/live/d5K6dHUV-Jw?si=uae3tGvVYwAjRBdS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</si>
</sst>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sz val="14"/>
      <color theme="1"/>
      <name val="Liberation Sans"/>
      <charset val="238"/>
    </font>
    <font>
      <sz val="11"/>
      <name val="Calibri"/>
      <family val="2"/>
      <charset val="238"/>
      <scheme val="minor"/>
    </font>
    <font>
      <sz val="16"/>
      <name val="Calibri"/>
      <family val="2"/>
      <charset val="238"/>
      <scheme val="minor"/>
    </font>
    <font>
      <sz val="14"/>
      <name val="Liberation Sans"/>
      <charset val="238"/>
    </font>
    <font>
      <u/>
      <sz val="11"/>
      <color theme="1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4" fillId="4" borderId="0" xfId="0" applyFont="1" applyFill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live/d5K6dHUV-Jw?si=uae3tGvVYwAjRB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workbookViewId="0">
      <selection activeCell="I22" sqref="I22"/>
    </sheetView>
  </sheetViews>
  <sheetFormatPr baseColWidth="10" defaultColWidth="8.83203125" defaultRowHeight="15"/>
  <cols>
    <col min="1" max="1" width="16.83203125" customWidth="1"/>
    <col min="2" max="2" width="12" customWidth="1"/>
    <col min="3" max="3" width="11.33203125" customWidth="1"/>
    <col min="7" max="7" width="14.6640625" customWidth="1"/>
    <col min="8" max="8" width="15" customWidth="1"/>
    <col min="9" max="9" width="13.6640625" customWidth="1"/>
    <col min="11" max="11" width="15.1640625" customWidth="1"/>
  </cols>
  <sheetData>
    <row r="1" spans="1:17" s="10" customFormat="1" ht="21">
      <c r="A1" s="15" t="s">
        <v>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3" spans="1:17" ht="18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3" t="s">
        <v>7</v>
      </c>
    </row>
    <row r="4" spans="1:17" ht="18">
      <c r="A4" s="4" t="s">
        <v>4</v>
      </c>
      <c r="B4" s="5">
        <v>1</v>
      </c>
      <c r="C4" s="6">
        <v>5</v>
      </c>
      <c r="D4" s="6">
        <v>4</v>
      </c>
      <c r="E4" s="6">
        <v>2</v>
      </c>
      <c r="F4" s="6">
        <v>1</v>
      </c>
      <c r="G4" s="6">
        <v>0</v>
      </c>
      <c r="H4" s="7">
        <v>0</v>
      </c>
      <c r="I4" s="8">
        <v>10</v>
      </c>
      <c r="L4" s="9">
        <f>I4/E4</f>
        <v>5</v>
      </c>
    </row>
    <row r="5" spans="1:17" ht="18">
      <c r="A5" s="4" t="s">
        <v>5</v>
      </c>
      <c r="B5" s="8">
        <v>3</v>
      </c>
      <c r="C5" s="9">
        <v>6</v>
      </c>
      <c r="D5" s="9">
        <v>2</v>
      </c>
      <c r="E5" s="11">
        <v>10</v>
      </c>
      <c r="F5" s="9">
        <v>0</v>
      </c>
      <c r="G5" s="9">
        <v>1</v>
      </c>
      <c r="H5" s="4">
        <v>0</v>
      </c>
      <c r="I5" s="8">
        <v>20</v>
      </c>
      <c r="L5" s="9">
        <f t="shared" ref="L5:L6" si="0">I5/E5</f>
        <v>2</v>
      </c>
    </row>
    <row r="6" spans="1:17" ht="18">
      <c r="A6" s="4" t="s">
        <v>6</v>
      </c>
      <c r="B6" s="3">
        <v>4</v>
      </c>
      <c r="C6" s="2">
        <v>8</v>
      </c>
      <c r="D6" s="2">
        <v>10</v>
      </c>
      <c r="E6" s="2">
        <v>12</v>
      </c>
      <c r="F6" s="2">
        <v>0</v>
      </c>
      <c r="G6" s="2">
        <v>0</v>
      </c>
      <c r="H6" s="1">
        <v>1</v>
      </c>
      <c r="I6" s="8">
        <v>30</v>
      </c>
      <c r="L6" s="9">
        <f t="shared" si="0"/>
        <v>2.5</v>
      </c>
    </row>
    <row r="7" spans="1:17" ht="18">
      <c r="A7" s="7"/>
      <c r="B7" s="6">
        <v>5</v>
      </c>
      <c r="C7" s="6">
        <v>2</v>
      </c>
      <c r="D7" s="6">
        <v>6</v>
      </c>
      <c r="E7" s="6">
        <v>8</v>
      </c>
      <c r="F7" s="6">
        <v>0</v>
      </c>
      <c r="G7" s="6">
        <v>0</v>
      </c>
      <c r="H7" s="6">
        <v>0</v>
      </c>
      <c r="I7" s="5">
        <v>0</v>
      </c>
    </row>
    <row r="10" spans="1:17" ht="18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6</v>
      </c>
      <c r="I10" s="3" t="s">
        <v>7</v>
      </c>
    </row>
    <row r="11" spans="1:17" ht="18">
      <c r="A11" s="4" t="s">
        <v>4</v>
      </c>
      <c r="B11" s="5">
        <f>B4-B5*E4/$E$5</f>
        <v>0.4</v>
      </c>
      <c r="C11" s="6">
        <f>C4-C5*E4/E5</f>
        <v>3.8</v>
      </c>
      <c r="D11" s="6">
        <f>D4-D5*E4/E5</f>
        <v>3.6</v>
      </c>
      <c r="E11" s="6">
        <v>0</v>
      </c>
      <c r="F11" s="6">
        <f>F4-E4*F5/E5</f>
        <v>1</v>
      </c>
      <c r="G11" s="6">
        <f>G4-E4*G5/E5</f>
        <v>-0.2</v>
      </c>
      <c r="H11" s="7">
        <f>H4-E4*H5/E5</f>
        <v>0</v>
      </c>
      <c r="I11" s="8">
        <f>I4-E4*I5/E5</f>
        <v>6</v>
      </c>
      <c r="K11">
        <f>I11/D11</f>
        <v>1.6666666666666665</v>
      </c>
    </row>
    <row r="12" spans="1:17" ht="18">
      <c r="A12" s="4" t="s">
        <v>3</v>
      </c>
      <c r="B12" s="8">
        <f>B5/E5</f>
        <v>0.3</v>
      </c>
      <c r="C12" s="8">
        <f>C5/E5</f>
        <v>0.6</v>
      </c>
      <c r="D12" s="8">
        <f>D5/E5</f>
        <v>0.2</v>
      </c>
      <c r="E12" s="8">
        <f>E5/E5</f>
        <v>1</v>
      </c>
      <c r="F12" s="8">
        <f>F5/E5</f>
        <v>0</v>
      </c>
      <c r="G12" s="8">
        <f>G5/E5</f>
        <v>0.1</v>
      </c>
      <c r="H12" s="8">
        <f>H5/E5</f>
        <v>0</v>
      </c>
      <c r="I12" s="8">
        <f>I5/E5</f>
        <v>2</v>
      </c>
      <c r="K12">
        <f t="shared" ref="K12:K13" si="1">I12/D12</f>
        <v>10</v>
      </c>
    </row>
    <row r="13" spans="1:17" ht="18">
      <c r="A13" s="4" t="s">
        <v>6</v>
      </c>
      <c r="B13" s="3">
        <f>B6-B5*E6/E5</f>
        <v>0.39999999999999991</v>
      </c>
      <c r="C13" s="2">
        <f>C6-C5*E6/E5</f>
        <v>0.79999999999999982</v>
      </c>
      <c r="D13" s="13">
        <f>D6-D5*E6/E5</f>
        <v>7.6</v>
      </c>
      <c r="E13" s="2">
        <v>0</v>
      </c>
      <c r="F13" s="2">
        <f>F6-F5*E6/E5</f>
        <v>0</v>
      </c>
      <c r="G13" s="2">
        <f>G6-G5*E6/E5</f>
        <v>-1.2</v>
      </c>
      <c r="H13" s="1">
        <f>H6-H5*E6/E5</f>
        <v>1</v>
      </c>
      <c r="I13" s="8">
        <f>I6-I5*E6/E5</f>
        <v>6</v>
      </c>
      <c r="K13">
        <f t="shared" si="1"/>
        <v>0.78947368421052633</v>
      </c>
    </row>
    <row r="14" spans="1:17" ht="18">
      <c r="A14" s="7"/>
      <c r="B14" s="6">
        <f>B7-B5*E7/E5</f>
        <v>2.6</v>
      </c>
      <c r="C14" s="6">
        <f>C7-E7*C5/E5</f>
        <v>-2.8</v>
      </c>
      <c r="D14" s="12">
        <f>D7-E7*D5/E5</f>
        <v>4.4000000000000004</v>
      </c>
      <c r="E14" s="6">
        <v>0</v>
      </c>
      <c r="F14" s="6">
        <f>F7-F5*E7/E5</f>
        <v>0</v>
      </c>
      <c r="G14" s="6">
        <f>G7-G5*E7/E5</f>
        <v>-0.8</v>
      </c>
      <c r="H14" s="6">
        <f>H7-H5*E7/E5</f>
        <v>0</v>
      </c>
      <c r="I14" s="5">
        <f>I5*E7/E5</f>
        <v>16</v>
      </c>
    </row>
    <row r="17" spans="1:11" ht="18">
      <c r="A17" s="1"/>
      <c r="B17" s="2" t="s">
        <v>0</v>
      </c>
      <c r="C17" s="2" t="s">
        <v>1</v>
      </c>
      <c r="D17" s="2" t="s">
        <v>2</v>
      </c>
      <c r="E17" s="2" t="s">
        <v>3</v>
      </c>
      <c r="F17" s="2" t="s">
        <v>4</v>
      </c>
      <c r="G17" s="2" t="s">
        <v>5</v>
      </c>
      <c r="H17" s="2" t="s">
        <v>6</v>
      </c>
      <c r="I17" s="3" t="s">
        <v>7</v>
      </c>
    </row>
    <row r="18" spans="1:11" ht="18">
      <c r="A18" s="4" t="s">
        <v>4</v>
      </c>
      <c r="B18" s="5">
        <f>B11-D11*B13/D13</f>
        <v>0.21052631578947373</v>
      </c>
      <c r="C18" s="6">
        <f>C11-D11*C13/D13</f>
        <v>3.4210526315789473</v>
      </c>
      <c r="D18" s="6">
        <v>0</v>
      </c>
      <c r="E18" s="6">
        <f>E11-D11*E13/D13</f>
        <v>0</v>
      </c>
      <c r="F18" s="6">
        <f>F11-D11*F13/D13</f>
        <v>1</v>
      </c>
      <c r="G18" s="6">
        <f>G11-D11*G13/D13</f>
        <v>0.36842105263157904</v>
      </c>
      <c r="H18" s="7">
        <f>H11-H13*D11/D13</f>
        <v>-0.47368421052631582</v>
      </c>
      <c r="I18" s="8">
        <f>I11-D11*I13/D13</f>
        <v>3.1578947368421049</v>
      </c>
      <c r="K18">
        <f>I18/B18</f>
        <v>14.999999999999995</v>
      </c>
    </row>
    <row r="19" spans="1:11" ht="18">
      <c r="A19" s="4" t="s">
        <v>3</v>
      </c>
      <c r="B19" s="14">
        <f>B12-D12*B13/D13</f>
        <v>0.28947368421052633</v>
      </c>
      <c r="C19" s="9">
        <f>C12-D12*C13/D13</f>
        <v>0.57894736842105265</v>
      </c>
      <c r="D19" s="9">
        <v>0</v>
      </c>
      <c r="E19" s="9">
        <f>E12-D12*E13/D13</f>
        <v>1</v>
      </c>
      <c r="F19" s="9">
        <f>F12-F13*D12/D13</f>
        <v>0</v>
      </c>
      <c r="G19" s="9">
        <f>G12-D12*G13/D13</f>
        <v>0.13157894736842107</v>
      </c>
      <c r="H19" s="4">
        <f>H12-D12*H13/D13</f>
        <v>-2.6315789473684213E-2</v>
      </c>
      <c r="I19" s="8">
        <f>I12-I13*D12/D13</f>
        <v>1.8421052631578947</v>
      </c>
      <c r="K19">
        <f t="shared" ref="K19:K20" si="2">I19/B19</f>
        <v>6.3636363636363633</v>
      </c>
    </row>
    <row r="20" spans="1:11" ht="18">
      <c r="A20" s="4" t="s">
        <v>2</v>
      </c>
      <c r="B20" s="3">
        <f>B13/$D$13</f>
        <v>5.2631578947368411E-2</v>
      </c>
      <c r="C20" s="3">
        <f>C13/$D$13</f>
        <v>0.10526315789473682</v>
      </c>
      <c r="D20" s="3">
        <f t="shared" ref="D20:I20" si="3">D13/$D$13</f>
        <v>1</v>
      </c>
      <c r="E20" s="3">
        <f t="shared" si="3"/>
        <v>0</v>
      </c>
      <c r="F20" s="3">
        <f t="shared" si="3"/>
        <v>0</v>
      </c>
      <c r="G20" s="3">
        <f t="shared" si="3"/>
        <v>-0.15789473684210525</v>
      </c>
      <c r="H20" s="3">
        <f t="shared" si="3"/>
        <v>0.13157894736842105</v>
      </c>
      <c r="I20" s="3">
        <f t="shared" si="3"/>
        <v>0.78947368421052633</v>
      </c>
      <c r="K20">
        <f t="shared" si="2"/>
        <v>15.000000000000004</v>
      </c>
    </row>
    <row r="21" spans="1:11" ht="18">
      <c r="A21" s="7"/>
      <c r="B21" s="12">
        <f>B14-B13*D14/D13</f>
        <v>2.3684210526315792</v>
      </c>
      <c r="C21" s="6">
        <f>C14-D14*C13/D13</f>
        <v>-3.263157894736842</v>
      </c>
      <c r="D21" s="6">
        <v>0</v>
      </c>
      <c r="E21" s="6">
        <f>E14-E13*D14/D13</f>
        <v>0</v>
      </c>
      <c r="F21" s="6">
        <f>F14-F13*D14/D13</f>
        <v>0</v>
      </c>
      <c r="G21" s="6">
        <f>G14-G13*D14/D13</f>
        <v>-0.10526315789473684</v>
      </c>
      <c r="H21" s="6">
        <f>H14-H13*D14/D13</f>
        <v>-0.57894736842105265</v>
      </c>
      <c r="I21" s="5">
        <f>I14+I13*D14/D13</f>
        <v>19.473684210526315</v>
      </c>
    </row>
    <row r="24" spans="1:11" ht="18">
      <c r="A24" s="1"/>
      <c r="B24" s="2" t="s">
        <v>0</v>
      </c>
      <c r="C24" s="2" t="s">
        <v>1</v>
      </c>
      <c r="D24" s="2" t="s">
        <v>2</v>
      </c>
      <c r="E24" s="2" t="s">
        <v>3</v>
      </c>
      <c r="F24" s="2" t="s">
        <v>4</v>
      </c>
      <c r="G24" s="2" t="s">
        <v>5</v>
      </c>
      <c r="H24" s="2" t="s">
        <v>6</v>
      </c>
      <c r="I24" s="3" t="s">
        <v>7</v>
      </c>
    </row>
    <row r="25" spans="1:11" ht="18">
      <c r="A25" s="4" t="s">
        <v>4</v>
      </c>
      <c r="B25" s="5">
        <v>0</v>
      </c>
      <c r="C25" s="6">
        <f>C18-B18*C19/B19</f>
        <v>3</v>
      </c>
      <c r="D25" s="6">
        <v>0</v>
      </c>
      <c r="E25" s="6">
        <f>E18-B18*E19/B19</f>
        <v>-0.7272727272727274</v>
      </c>
      <c r="F25" s="6">
        <v>1</v>
      </c>
      <c r="G25" s="6">
        <f>G18-G19*B18/B19</f>
        <v>0.27272727272727282</v>
      </c>
      <c r="H25" s="7">
        <f>H18-H19*B18/B19</f>
        <v>-0.45454545454545459</v>
      </c>
      <c r="I25" s="8">
        <f>I18-I19*B18/B19</f>
        <v>1.8181818181818177</v>
      </c>
    </row>
    <row r="26" spans="1:11" ht="18">
      <c r="A26" s="4" t="s">
        <v>0</v>
      </c>
      <c r="B26" s="8">
        <v>1</v>
      </c>
      <c r="C26" s="9">
        <f>C19/B19</f>
        <v>2</v>
      </c>
      <c r="D26" s="9">
        <v>0</v>
      </c>
      <c r="E26" s="9">
        <f>E19/B19</f>
        <v>3.4545454545454546</v>
      </c>
      <c r="F26" s="9">
        <v>0</v>
      </c>
      <c r="G26" s="9">
        <f>G19/B19</f>
        <v>0.45454545454545459</v>
      </c>
      <c r="H26" s="4">
        <f>H19/B19</f>
        <v>-9.0909090909090912E-2</v>
      </c>
      <c r="I26" s="8">
        <f>I19/B19</f>
        <v>6.3636363636363633</v>
      </c>
    </row>
    <row r="27" spans="1:11" ht="18">
      <c r="A27" s="4" t="s">
        <v>2</v>
      </c>
      <c r="B27" s="3">
        <v>0</v>
      </c>
      <c r="C27" s="2">
        <f>C20-C19*B20/B19</f>
        <v>0</v>
      </c>
      <c r="D27" s="2">
        <v>1</v>
      </c>
      <c r="E27" s="2">
        <f>E20-B20*E19/B19</f>
        <v>-0.18181818181818177</v>
      </c>
      <c r="F27" s="2">
        <v>0</v>
      </c>
      <c r="G27" s="2">
        <f>G20-G19*B20/B19</f>
        <v>-0.18181818181818182</v>
      </c>
      <c r="H27" s="1">
        <f>H20-H19*B20/B19</f>
        <v>0.13636363636363635</v>
      </c>
      <c r="I27" s="8">
        <f>I20-I19*B20/B19</f>
        <v>0.45454545454545464</v>
      </c>
    </row>
    <row r="28" spans="1:11" ht="18">
      <c r="A28" s="7"/>
      <c r="B28" s="6">
        <v>0</v>
      </c>
      <c r="C28" s="6">
        <f>C21-C19*B21/B19</f>
        <v>-8</v>
      </c>
      <c r="D28" s="6">
        <v>0</v>
      </c>
      <c r="E28" s="6">
        <v>0</v>
      </c>
      <c r="F28" s="6">
        <v>0</v>
      </c>
      <c r="G28" s="6">
        <f>G21-G19*B21/B19</f>
        <v>-1.1818181818181821</v>
      </c>
      <c r="H28" s="6">
        <f>H21-H19*B21/B19</f>
        <v>-0.36363636363636365</v>
      </c>
      <c r="I28" s="5">
        <f>I21+I19*B21/B19</f>
        <v>34.545454545454547</v>
      </c>
    </row>
    <row r="30" spans="1:11" ht="18">
      <c r="A30" s="9" t="s">
        <v>9</v>
      </c>
    </row>
    <row r="31" spans="1:11" ht="18">
      <c r="A31" s="9" t="s">
        <v>10</v>
      </c>
    </row>
    <row r="32" spans="1:11" ht="18">
      <c r="A32" s="9" t="s">
        <v>11</v>
      </c>
    </row>
    <row r="33" spans="1:12" ht="18">
      <c r="A33" s="9" t="s">
        <v>12</v>
      </c>
    </row>
    <row r="36" spans="1:12">
      <c r="A36" s="16" t="s">
        <v>13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</sheetData>
  <mergeCells count="2">
    <mergeCell ref="A1:Q1"/>
    <mergeCell ref="A36:L36"/>
  </mergeCells>
  <hyperlinks>
    <hyperlink ref="A36" r:id="rId1" xr:uid="{00000000-0004-0000-0000-000000000000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D8B0-7CC7-0B43-89C6-B7B75F375BA1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</dc:creator>
  <cp:lastModifiedBy>Szi Brigitta</cp:lastModifiedBy>
  <dcterms:created xsi:type="dcterms:W3CDTF">2022-11-06T15:19:53Z</dcterms:created>
  <dcterms:modified xsi:type="dcterms:W3CDTF">2025-10-29T15:47:44Z</dcterms:modified>
</cp:coreProperties>
</file>